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isma\Downloads\"/>
    </mc:Choice>
  </mc:AlternateContent>
  <xr:revisionPtr revIDLastSave="0" documentId="13_ncr:1_{36704224-C99D-4BCA-A750-839B218AB35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</sheets>
  <definedNames>
    <definedName name="_xlnm._FilterDatabase" localSheetId="0" hidden="1">BOM!$A$7:$K$41</definedName>
    <definedName name="_xlnm.Print_Titles" localSheetId="0">BOM!$7:$7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2" i="1" l="1"/>
  <c r="K41" i="1"/>
  <c r="K40" i="1"/>
  <c r="K38" i="1"/>
  <c r="C38" i="1"/>
  <c r="K37" i="1"/>
  <c r="C37" i="1"/>
  <c r="K35" i="1"/>
  <c r="C35" i="1"/>
  <c r="C34" i="1"/>
  <c r="K34" i="1" s="1"/>
  <c r="C32" i="1"/>
  <c r="K32" i="1" s="1"/>
  <c r="C31" i="1"/>
  <c r="K31" i="1" s="1"/>
  <c r="K30" i="1"/>
  <c r="C30" i="1"/>
  <c r="C29" i="1"/>
  <c r="K29" i="1" s="1"/>
  <c r="K28" i="1"/>
  <c r="C28" i="1"/>
  <c r="K26" i="1"/>
  <c r="C26" i="1"/>
  <c r="C25" i="1"/>
  <c r="K25" i="1" s="1"/>
  <c r="C24" i="1"/>
  <c r="K24" i="1" s="1"/>
  <c r="C23" i="1"/>
  <c r="C21" i="1"/>
  <c r="K21" i="1" s="1"/>
  <c r="C20" i="1"/>
  <c r="K20" i="1" s="1"/>
  <c r="C18" i="1"/>
  <c r="K18" i="1" s="1"/>
  <c r="C17" i="1"/>
  <c r="K17" i="1" s="1"/>
  <c r="C16" i="1"/>
  <c r="K16" i="1" s="1"/>
  <c r="K15" i="1"/>
  <c r="C15" i="1"/>
  <c r="C14" i="1"/>
  <c r="K14" i="1" s="1"/>
  <c r="C13" i="1"/>
  <c r="K13" i="1" s="1"/>
  <c r="C12" i="1"/>
  <c r="K12" i="1" s="1"/>
  <c r="C11" i="1"/>
  <c r="K11" i="1" s="1"/>
  <c r="K10" i="1"/>
  <c r="C9" i="1"/>
  <c r="K9" i="1" s="1"/>
  <c r="C44" i="1" l="1"/>
  <c r="C45" i="1"/>
  <c r="K23" i="1"/>
  <c r="C46" i="1" l="1"/>
</calcChain>
</file>

<file path=xl/sharedStrings.xml><?xml version="1.0" encoding="utf-8"?>
<sst xmlns="http://schemas.openxmlformats.org/spreadsheetml/2006/main" count="222" uniqueCount="168">
  <si>
    <t>TractorVCU v1.0 – lista elementów (BOM)</t>
  </si>
  <si>
    <t>Źródło: schematy Tractor2000.SchDoc, MCU.SchDoc, LOAD_SWITCHES.SchDoc, POWER.SchDoc (10.06.2026)</t>
  </si>
  <si>
    <t>Liczba płytek do złożenia:</t>
  </si>
  <si>
    <t>Legenda: żółte pole – wpisz liczbę płytek; niebieskie liczby – ilości wpisane ręcznie (reszta liczona z listy oznaczeń); „TAK” w kolumnie Weryfikacja – obudowa przyjęta jako typowa, bo PDF schematu nie zawiera footprintów – sprawdź z PCB przed zamówieniem.</t>
  </si>
  <si>
    <t>Lp.</t>
  </si>
  <si>
    <t>Oznaczenia</t>
  </si>
  <si>
    <t>Ilość / płytkę</t>
  </si>
  <si>
    <t>Wartość</t>
  </si>
  <si>
    <t>Opis</t>
  </si>
  <si>
    <t>Obudowa</t>
  </si>
  <si>
    <t>Producent / przykładowy MPN</t>
  </si>
  <si>
    <t>Montaż</t>
  </si>
  <si>
    <t>Weryfikacja</t>
  </si>
  <si>
    <t>Uwagi</t>
  </si>
  <si>
    <t>Do zamówienia</t>
  </si>
  <si>
    <t>Półprzewodniki i moduły</t>
  </si>
  <si>
    <t>U1</t>
  </si>
  <si>
    <t>NodeMCU-32 (30-pin)</t>
  </si>
  <si>
    <t>Moduł ESP32 devkit (ESP32-WROOM-32)</t>
  </si>
  <si>
    <t>Moduł, raster 2,54 mm</t>
  </si>
  <si>
    <t>NodeMCU-32 / ESP32 DevKit V1 30-pin</t>
  </si>
  <si>
    <t>THT</t>
  </si>
  <si>
    <t>Wkładany w gniazda z poz. poniżej, nie lutowany</t>
  </si>
  <si>
    <t>U1 – gniazda</t>
  </si>
  <si>
    <t>Gniazdo żeńskie 1×15</t>
  </si>
  <si>
    <t>Listwa żeńska prosta, raster 2,54 mm, wys. ok. 8,5 mm</t>
  </si>
  <si>
    <t>THT 1×15</t>
  </si>
  <si>
    <t>dowolna listwa żeńska 1×15 2,54 mm</t>
  </si>
  <si>
    <t>2 szt. na płytkę (rząd 1–15 i 16–30). Sprawdź rozstaw rzędów footprintu z devkitem (22,86 vs 25,4 mm)</t>
  </si>
  <si>
    <t>U2</t>
  </si>
  <si>
    <t>TPS562201DDCR</t>
  </si>
  <si>
    <t>Przetwornica buck 4,5–17 V / 2 A</t>
  </si>
  <si>
    <t>SOT-23-6 (DDC)</t>
  </si>
  <si>
    <t>Texas Instruments TPS562201DDCR</t>
  </si>
  <si>
    <t>SMD</t>
  </si>
  <si>
    <t>L1</t>
  </si>
  <si>
    <t>3,3 µH</t>
  </si>
  <si>
    <t>Dławik mocy</t>
  </si>
  <si>
    <t>1008 (2520 metric)</t>
  </si>
  <si>
    <t>Taiyo Yuden MAMK2520T3R3M</t>
  </si>
  <si>
    <t>Q1, Q2, Q3, Q7, Q8, Q9, Q13, Q14, Q15, Q19, Q20, Q21</t>
  </si>
  <si>
    <t>AO3401</t>
  </si>
  <si>
    <t>P-MOSFET −30 V (klucz high-side)</t>
  </si>
  <si>
    <t>SOT-23</t>
  </si>
  <si>
    <t>Alpha &amp; Omega AO3401A</t>
  </si>
  <si>
    <t>Q4, Q5, Q6, Q10, Q11, Q12, Q16, Q17, Q18, Q22, Q23, Q24, Q25</t>
  </si>
  <si>
    <t>BSS138</t>
  </si>
  <si>
    <t>N-MOSFET 50 V (sterowanie bramek, klucz buzzera)</t>
  </si>
  <si>
    <t>onsemi BSS138</t>
  </si>
  <si>
    <t>CR1</t>
  </si>
  <si>
    <t>SMBJ7.0A</t>
  </si>
  <si>
    <t>Dioda TVS jednokierunkowa 7,0 V / 600 W</t>
  </si>
  <si>
    <t>SMB (DO-214AA)</t>
  </si>
  <si>
    <t>Littelfuse SMBJ7.0A lub odp.</t>
  </si>
  <si>
    <t>Katoda na V_ESC</t>
  </si>
  <si>
    <t>D1</t>
  </si>
  <si>
    <t>SS14</t>
  </si>
  <si>
    <t>Dioda Schottky 1 A / 40 V</t>
  </si>
  <si>
    <t>SMA (DO-214AC)</t>
  </si>
  <si>
    <t>SS14 (np. onsemi, Vishay)</t>
  </si>
  <si>
    <t>Anoda V_ESC, katoda V_BUCK</t>
  </si>
  <si>
    <t>D2</t>
  </si>
  <si>
    <t>1N4148WT</t>
  </si>
  <si>
    <t>Dioda impulsowa (zwrotna buzzera)</t>
  </si>
  <si>
    <t>SOD-523</t>
  </si>
  <si>
    <t>1N4148WT (np. Diodes Inc.)</t>
  </si>
  <si>
    <t>TAK</t>
  </si>
  <si>
    <t>Na wcześniejszych widokach PCB footprint D2 był większy niż SOD-523 – ujednolić element i footprint</t>
  </si>
  <si>
    <t>D3, D4</t>
  </si>
  <si>
    <t>LED</t>
  </si>
  <si>
    <t>Dioda LED sygnalizacyjna (kolor dowolny)</t>
  </si>
  <si>
    <t>0603</t>
  </si>
  <si>
    <t>dowolna LED 0603</t>
  </si>
  <si>
    <t>Debug LED, z R40/R41 330 Ω</t>
  </si>
  <si>
    <t>Kondensatory</t>
  </si>
  <si>
    <t>C3, C4</t>
  </si>
  <si>
    <t>220 µF / 16 V</t>
  </si>
  <si>
    <t>Kondensator polimerowy SMD (bulk V_ESC)</t>
  </si>
  <si>
    <t>Ø6,3 mm lub wg footprintu</t>
  </si>
  <si>
    <t>Dobrać MPN do średnicy footprintu na PCB</t>
  </si>
  <si>
    <t>C13</t>
  </si>
  <si>
    <t>47 µF / 16 V</t>
  </si>
  <si>
    <t>MLCC X5R/X7R (hold-up V_BUCK)</t>
  </si>
  <si>
    <t>1210</t>
  </si>
  <si>
    <t>dowolny 47 µF 16 V X5R 1210</t>
  </si>
  <si>
    <t>10 µF / 16 V</t>
  </si>
  <si>
    <t>MLCC X5R/X7R</t>
  </si>
  <si>
    <t>dowolny 10 µF 16–25 V X7R 1206</t>
  </si>
  <si>
    <t>C9–C12 przy grupach złączy, C5 wejście bucka</t>
  </si>
  <si>
    <t>C7, C8</t>
  </si>
  <si>
    <t>22 µF / 10 V</t>
  </si>
  <si>
    <t>MLCC X5R/X7R (wyjście bucka)</t>
  </si>
  <si>
    <t>0805</t>
  </si>
  <si>
    <t>C14</t>
  </si>
  <si>
    <t>1 µF / 16 V</t>
  </si>
  <si>
    <t>MLCC X7R (zasilanie buzzera)</t>
  </si>
  <si>
    <t>dowolny 1 µF 16 V X7R 0603</t>
  </si>
  <si>
    <t>C1, C2, C6</t>
  </si>
  <si>
    <t>100 nF / 50 V</t>
  </si>
  <si>
    <t>MLCC X7R</t>
  </si>
  <si>
    <t>dowolny 100 nF 50 V X7R 0603</t>
  </si>
  <si>
    <t>C2 – bootstrap bucka (VBST–SW)</t>
  </si>
  <si>
    <t>Rezystory (1%)</t>
  </si>
  <si>
    <t>R1</t>
  </si>
  <si>
    <t>1 kΩ</t>
  </si>
  <si>
    <t>Rezystor szeregowy ESC_CONTROL</t>
  </si>
  <si>
    <t>dowolny 1 kΩ 1% 0603</t>
  </si>
  <si>
    <t>R3, R4, R5, R11, R12, R13, R19, R20, R21, R28, R29, R30</t>
  </si>
  <si>
    <t>2,2 kΩ</t>
  </si>
  <si>
    <t>Pull-up bramek AO3401</t>
  </si>
  <si>
    <t>dowolny 2,2 kΩ 1% 0603</t>
  </si>
  <si>
    <t>R2, R6, R7, R8, R9, R10, R14, R15, R16, R17, R18, R22, R23, R24, R25, R26, R27, R31, R32, R33, R34, R35, R36, R38, R39</t>
  </si>
  <si>
    <t>10 kΩ</t>
  </si>
  <si>
    <t>Pull-downy bramek i wyjść, pull-down ESC, dzielnik FB</t>
  </si>
  <si>
    <t>dowolny 10 kΩ 1% 0603</t>
  </si>
  <si>
    <t>R38 – dolny rezystor dzielnika FB bucka</t>
  </si>
  <si>
    <t>R37</t>
  </si>
  <si>
    <t>33 kΩ</t>
  </si>
  <si>
    <t>Górny rezystor dzielnika FB bucka</t>
  </si>
  <si>
    <t>dowolny 33 kΩ 1% 0603</t>
  </si>
  <si>
    <t>Vout = 0,768 V × (1 + 33k/10k) ≈ 3,30 V</t>
  </si>
  <si>
    <t>R40, R41</t>
  </si>
  <si>
    <t>330 Ω</t>
  </si>
  <si>
    <t>Rezystory LED debug</t>
  </si>
  <si>
    <t>dowolny 330 Ω 1% 0603</t>
  </si>
  <si>
    <t>Złącza</t>
  </si>
  <si>
    <t>J1, J2, J3, J4, J5, J6, J7, J8, J9, J10, J11, J12, J13</t>
  </si>
  <si>
    <t>HTSW-103-24-T-S</t>
  </si>
  <si>
    <t>Listwa męska prosta 1×3, raster 2,54 mm</t>
  </si>
  <si>
    <t>THT 1×3</t>
  </si>
  <si>
    <t>Samtec HTSW-103-24-T-S</t>
  </si>
  <si>
    <t>Alternatywnie zwykły goldpin 1×3 (lub listwa 1×40 cięta)</t>
  </si>
  <si>
    <t>J14</t>
  </si>
  <si>
    <t>Goldpin 1×2</t>
  </si>
  <si>
    <t>Listwa męska prosta 1×2, raster 2,54 mm (buzzer)</t>
  </si>
  <si>
    <t>THT 1×2</t>
  </si>
  <si>
    <t>dowolny goldpin 1×2 2,54 mm</t>
  </si>
  <si>
    <t>Elementy PCB (nie zamawiane osobno)</t>
  </si>
  <si>
    <t>TP1, TP2, TP3, TP4, TP5, TP6</t>
  </si>
  <si>
    <t>Punkt testowy</t>
  </si>
  <si>
    <t>Pad testowy</t>
  </si>
  <si>
    <t>—</t>
  </si>
  <si>
    <t>PCB</t>
  </si>
  <si>
    <t>Jeśli footprint to pętla THT (np. Keystone 5012) – dopisz do zamówienia</t>
  </si>
  <si>
    <t>MH1, MH2, MH3, MH4</t>
  </si>
  <si>
    <t>Otwór M3</t>
  </si>
  <si>
    <t>Otwór montażowy metalizowany (GND)</t>
  </si>
  <si>
    <t>Śruby/dystanse M3 – wg mocowania w modelu</t>
  </si>
  <si>
    <t>Poza płytką (opcjonalnie)</t>
  </si>
  <si>
    <t>LD-BZEG-1203</t>
  </si>
  <si>
    <t>Buzzer elektromagnetyczny z generatorem 2–5 V, 30 mA</t>
  </si>
  <si>
    <t>THT Ø12 mm</t>
  </si>
  <si>
    <t>Loudity LD-BZEG-1203</t>
  </si>
  <si>
    <t>Poza płytką</t>
  </si>
  <si>
    <t>Na kablu do J14, zachować polaryzację</t>
  </si>
  <si>
    <t>Przewód z wtykiem 1×2</t>
  </si>
  <si>
    <t>Przewód z gniazdem żeńskim 2,54 mm do J14</t>
  </si>
  <si>
    <t>np. przewód Dupont F 1×2</t>
  </si>
  <si>
    <t>Podsumowanie (na 1 płytkę)</t>
  </si>
  <si>
    <t>Elementy SMD</t>
  </si>
  <si>
    <t>Elementy THT (z gniazdami devkita)</t>
  </si>
  <si>
    <t>Razem do montażu na płytce</t>
  </si>
  <si>
    <t>0402</t>
  </si>
  <si>
    <t>PCJ1C221MCL4GS</t>
  </si>
  <si>
    <t>C5</t>
  </si>
  <si>
    <t>C9, C10, C11, C12</t>
  </si>
  <si>
    <t>dowolny 10 µF 16–25 V X7R 0805</t>
  </si>
  <si>
    <t>dowolny 22 µF 10 V X5R 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</si>
</sst>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/>
    <xf numFmtId="0" fontId="5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7" fillId="0" borderId="0" xfId="0" applyFont="1"/>
    <xf numFmtId="0" fontId="3" fillId="0" borderId="1" xfId="0" applyFont="1" applyBorder="1" applyAlignment="1">
      <alignment horizontal="center" vertical="top" wrapText="1"/>
    </xf>
    <xf numFmtId="49" fontId="0" fillId="0" borderId="0" xfId="0" applyNumberFormat="1"/>
    <xf numFmtId="49" fontId="6" fillId="3" borderId="1" xfId="0" applyNumberFormat="1" applyFont="1" applyFill="1" applyBorder="1" applyAlignment="1">
      <alignment horizontal="center" vertical="top" wrapText="1"/>
    </xf>
    <xf numFmtId="49" fontId="7" fillId="0" borderId="1" xfId="0" applyNumberFormat="1" applyFont="1" applyBorder="1" applyAlignment="1">
      <alignment vertical="top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6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G24" sqref="G24"/>
    </sheetView>
  </sheetViews>
  <sheetFormatPr defaultColWidth="8.7109375" defaultRowHeight="15" x14ac:dyDescent="0.25"/>
  <cols>
    <col min="1" max="1" width="5" customWidth="1"/>
    <col min="2" max="2" width="38" customWidth="1"/>
    <col min="3" max="3" width="10" customWidth="1"/>
    <col min="4" max="4" width="20" customWidth="1"/>
    <col min="5" max="5" width="38" customWidth="1"/>
    <col min="6" max="6" width="20" style="13" customWidth="1"/>
    <col min="7" max="7" width="32" customWidth="1"/>
    <col min="8" max="9" width="11" customWidth="1"/>
    <col min="10" max="10" width="44" customWidth="1"/>
    <col min="11" max="11" width="12" customWidth="1"/>
  </cols>
  <sheetData>
    <row r="1" spans="1:11" ht="18" x14ac:dyDescent="0.25">
      <c r="A1" s="3" t="s">
        <v>0</v>
      </c>
    </row>
    <row r="2" spans="1:11" x14ac:dyDescent="0.25">
      <c r="A2" s="4" t="s">
        <v>1</v>
      </c>
    </row>
    <row r="4" spans="1:11" x14ac:dyDescent="0.25">
      <c r="A4" s="5" t="s">
        <v>2</v>
      </c>
      <c r="D4" s="6">
        <v>1</v>
      </c>
    </row>
    <row r="5" spans="1:11" ht="27.75" customHeight="1" x14ac:dyDescent="0.25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7" spans="1:11" ht="38.25" x14ac:dyDescent="0.25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14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</row>
    <row r="8" spans="1:11" x14ac:dyDescent="0.25">
      <c r="A8" s="1" t="s">
        <v>15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5.5" x14ac:dyDescent="0.25">
      <c r="A9" s="8">
        <v>1</v>
      </c>
      <c r="B9" s="9" t="s">
        <v>16</v>
      </c>
      <c r="C9" s="8">
        <f>LEN(B9)-LEN(SUBSTITUTE(B9,",",""))+1</f>
        <v>1</v>
      </c>
      <c r="D9" s="9" t="s">
        <v>17</v>
      </c>
      <c r="E9" s="9" t="s">
        <v>18</v>
      </c>
      <c r="F9" s="15" t="s">
        <v>19</v>
      </c>
      <c r="G9" s="9" t="s">
        <v>20</v>
      </c>
      <c r="H9" s="8" t="s">
        <v>21</v>
      </c>
      <c r="I9" s="8"/>
      <c r="J9" s="9" t="s">
        <v>22</v>
      </c>
      <c r="K9" s="8">
        <f t="shared" ref="K9:K18" si="0">IF(H9="PCB","—",C9*$D$4)</f>
        <v>1</v>
      </c>
    </row>
    <row r="10" spans="1:11" ht="38.25" x14ac:dyDescent="0.25">
      <c r="A10" s="8">
        <v>2</v>
      </c>
      <c r="B10" s="9" t="s">
        <v>23</v>
      </c>
      <c r="C10" s="10">
        <v>2</v>
      </c>
      <c r="D10" s="9" t="s">
        <v>24</v>
      </c>
      <c r="E10" s="9" t="s">
        <v>25</v>
      </c>
      <c r="F10" s="15" t="s">
        <v>26</v>
      </c>
      <c r="G10" s="9" t="s">
        <v>27</v>
      </c>
      <c r="H10" s="8" t="s">
        <v>21</v>
      </c>
      <c r="I10" s="8"/>
      <c r="J10" s="9" t="s">
        <v>28</v>
      </c>
      <c r="K10" s="8">
        <f t="shared" si="0"/>
        <v>2</v>
      </c>
    </row>
    <row r="11" spans="1:11" ht="25.5" x14ac:dyDescent="0.25">
      <c r="A11" s="8">
        <v>3</v>
      </c>
      <c r="B11" s="9" t="s">
        <v>29</v>
      </c>
      <c r="C11" s="8">
        <f t="shared" ref="C11:C18" si="1">LEN(B11)-LEN(SUBSTITUTE(B11,",",""))+1</f>
        <v>1</v>
      </c>
      <c r="D11" s="9" t="s">
        <v>30</v>
      </c>
      <c r="E11" s="9" t="s">
        <v>31</v>
      </c>
      <c r="F11" s="15" t="s">
        <v>32</v>
      </c>
      <c r="G11" s="9" t="s">
        <v>33</v>
      </c>
      <c r="H11" s="8" t="s">
        <v>34</v>
      </c>
      <c r="I11" s="8"/>
      <c r="J11" s="9"/>
      <c r="K11" s="8">
        <f t="shared" si="0"/>
        <v>1</v>
      </c>
    </row>
    <row r="12" spans="1:11" x14ac:dyDescent="0.25">
      <c r="A12" s="8">
        <v>4</v>
      </c>
      <c r="B12" s="9" t="s">
        <v>35</v>
      </c>
      <c r="C12" s="8">
        <f t="shared" si="1"/>
        <v>1</v>
      </c>
      <c r="D12" s="9" t="s">
        <v>36</v>
      </c>
      <c r="E12" s="9" t="s">
        <v>37</v>
      </c>
      <c r="F12" s="15" t="s">
        <v>38</v>
      </c>
      <c r="G12" s="9" t="s">
        <v>39</v>
      </c>
      <c r="H12" s="8" t="s">
        <v>34</v>
      </c>
      <c r="I12" s="8"/>
      <c r="J12" s="9"/>
      <c r="K12" s="8">
        <f t="shared" si="0"/>
        <v>1</v>
      </c>
    </row>
    <row r="13" spans="1:11" ht="25.5" x14ac:dyDescent="0.25">
      <c r="A13" s="8">
        <v>5</v>
      </c>
      <c r="B13" s="9" t="s">
        <v>40</v>
      </c>
      <c r="C13" s="8">
        <f t="shared" si="1"/>
        <v>12</v>
      </c>
      <c r="D13" s="9" t="s">
        <v>41</v>
      </c>
      <c r="E13" s="9" t="s">
        <v>42</v>
      </c>
      <c r="F13" s="15" t="s">
        <v>43</v>
      </c>
      <c r="G13" s="9" t="s">
        <v>44</v>
      </c>
      <c r="H13" s="8" t="s">
        <v>34</v>
      </c>
      <c r="I13" s="8"/>
      <c r="J13" s="9"/>
      <c r="K13" s="8">
        <f t="shared" si="0"/>
        <v>12</v>
      </c>
    </row>
    <row r="14" spans="1:11" ht="25.5" x14ac:dyDescent="0.25">
      <c r="A14" s="8">
        <v>6</v>
      </c>
      <c r="B14" s="9" t="s">
        <v>45</v>
      </c>
      <c r="C14" s="8">
        <f t="shared" si="1"/>
        <v>13</v>
      </c>
      <c r="D14" s="9" t="s">
        <v>46</v>
      </c>
      <c r="E14" s="9" t="s">
        <v>47</v>
      </c>
      <c r="F14" s="15" t="s">
        <v>43</v>
      </c>
      <c r="G14" s="9" t="s">
        <v>48</v>
      </c>
      <c r="H14" s="8" t="s">
        <v>34</v>
      </c>
      <c r="I14" s="8"/>
      <c r="J14" s="9"/>
      <c r="K14" s="8">
        <f t="shared" si="0"/>
        <v>13</v>
      </c>
    </row>
    <row r="15" spans="1:11" x14ac:dyDescent="0.25">
      <c r="A15" s="8">
        <v>7</v>
      </c>
      <c r="B15" s="9" t="s">
        <v>49</v>
      </c>
      <c r="C15" s="8">
        <f t="shared" si="1"/>
        <v>1</v>
      </c>
      <c r="D15" s="9" t="s">
        <v>50</v>
      </c>
      <c r="E15" s="9" t="s">
        <v>51</v>
      </c>
      <c r="F15" s="15" t="s">
        <v>52</v>
      </c>
      <c r="G15" s="9" t="s">
        <v>53</v>
      </c>
      <c r="H15" s="8" t="s">
        <v>34</v>
      </c>
      <c r="I15" s="8"/>
      <c r="J15" s="9" t="s">
        <v>54</v>
      </c>
      <c r="K15" s="8">
        <f t="shared" si="0"/>
        <v>1</v>
      </c>
    </row>
    <row r="16" spans="1:11" x14ac:dyDescent="0.25">
      <c r="A16" s="8">
        <v>8</v>
      </c>
      <c r="B16" s="9" t="s">
        <v>55</v>
      </c>
      <c r="C16" s="8">
        <f t="shared" si="1"/>
        <v>1</v>
      </c>
      <c r="D16" s="9" t="s">
        <v>56</v>
      </c>
      <c r="E16" s="9" t="s">
        <v>57</v>
      </c>
      <c r="F16" s="15" t="s">
        <v>58</v>
      </c>
      <c r="G16" s="9" t="s">
        <v>59</v>
      </c>
      <c r="H16" s="8" t="s">
        <v>34</v>
      </c>
      <c r="I16" s="8"/>
      <c r="J16" s="9" t="s">
        <v>60</v>
      </c>
      <c r="K16" s="8">
        <f t="shared" si="0"/>
        <v>1</v>
      </c>
    </row>
    <row r="17" spans="1:11" ht="38.25" x14ac:dyDescent="0.25">
      <c r="A17" s="8">
        <v>9</v>
      </c>
      <c r="B17" s="9" t="s">
        <v>61</v>
      </c>
      <c r="C17" s="8">
        <f t="shared" si="1"/>
        <v>1</v>
      </c>
      <c r="D17" s="9" t="s">
        <v>62</v>
      </c>
      <c r="E17" s="9" t="s">
        <v>63</v>
      </c>
      <c r="F17" s="15" t="s">
        <v>64</v>
      </c>
      <c r="G17" s="9" t="s">
        <v>65</v>
      </c>
      <c r="H17" s="8" t="s">
        <v>34</v>
      </c>
      <c r="I17" s="8" t="s">
        <v>66</v>
      </c>
      <c r="J17" s="9" t="s">
        <v>67</v>
      </c>
      <c r="K17" s="8">
        <f t="shared" si="0"/>
        <v>1</v>
      </c>
    </row>
    <row r="18" spans="1:11" x14ac:dyDescent="0.25">
      <c r="A18" s="8">
        <v>10</v>
      </c>
      <c r="B18" s="9" t="s">
        <v>68</v>
      </c>
      <c r="C18" s="8">
        <f t="shared" si="1"/>
        <v>2</v>
      </c>
      <c r="D18" s="9" t="s">
        <v>69</v>
      </c>
      <c r="E18" s="9" t="s">
        <v>70</v>
      </c>
      <c r="F18" s="15" t="s">
        <v>71</v>
      </c>
      <c r="G18" s="9" t="s">
        <v>72</v>
      </c>
      <c r="H18" s="8" t="s">
        <v>34</v>
      </c>
      <c r="I18" s="8"/>
      <c r="J18" s="9" t="s">
        <v>73</v>
      </c>
      <c r="K18" s="8">
        <f t="shared" si="0"/>
        <v>2</v>
      </c>
    </row>
    <row r="19" spans="1:11" x14ac:dyDescent="0.25">
      <c r="A19" s="1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5.5" x14ac:dyDescent="0.25">
      <c r="A20" s="8">
        <v>11</v>
      </c>
      <c r="B20" s="9" t="s">
        <v>75</v>
      </c>
      <c r="C20" s="8">
        <f t="shared" ref="C20:C26" si="2">LEN(B20)-LEN(SUBSTITUTE(B20,",",""))+1</f>
        <v>2</v>
      </c>
      <c r="D20" s="9" t="s">
        <v>76</v>
      </c>
      <c r="E20" s="9" t="s">
        <v>77</v>
      </c>
      <c r="F20" s="15" t="s">
        <v>78</v>
      </c>
      <c r="G20" s="9" t="s">
        <v>163</v>
      </c>
      <c r="H20" s="8" t="s">
        <v>34</v>
      </c>
      <c r="I20" s="8" t="s">
        <v>66</v>
      </c>
      <c r="J20" s="9" t="s">
        <v>79</v>
      </c>
      <c r="K20" s="8">
        <f t="shared" ref="K20:K26" si="3">IF(H20="PCB","—",C20*$D$4)</f>
        <v>2</v>
      </c>
    </row>
    <row r="21" spans="1:11" x14ac:dyDescent="0.25">
      <c r="A21" s="8">
        <v>12</v>
      </c>
      <c r="B21" s="9" t="s">
        <v>80</v>
      </c>
      <c r="C21" s="8">
        <f t="shared" si="2"/>
        <v>1</v>
      </c>
      <c r="D21" s="9" t="s">
        <v>81</v>
      </c>
      <c r="E21" s="9" t="s">
        <v>82</v>
      </c>
      <c r="F21" s="15" t="s">
        <v>83</v>
      </c>
      <c r="G21" s="9" t="s">
        <v>84</v>
      </c>
      <c r="H21" s="8" t="s">
        <v>34</v>
      </c>
      <c r="I21" s="8"/>
      <c r="J21" s="9"/>
      <c r="K21" s="8">
        <f t="shared" si="3"/>
        <v>1</v>
      </c>
    </row>
    <row r="22" spans="1:11" x14ac:dyDescent="0.25">
      <c r="A22" s="8"/>
      <c r="B22" s="9" t="s">
        <v>164</v>
      </c>
      <c r="C22" s="8">
        <v>1</v>
      </c>
      <c r="D22" s="9" t="s">
        <v>85</v>
      </c>
      <c r="E22" s="9" t="s">
        <v>86</v>
      </c>
      <c r="F22" s="15" t="s">
        <v>71</v>
      </c>
      <c r="G22" s="9" t="s">
        <v>87</v>
      </c>
      <c r="H22" s="8" t="s">
        <v>34</v>
      </c>
      <c r="I22" s="8" t="s">
        <v>66</v>
      </c>
      <c r="J22" s="9" t="s">
        <v>88</v>
      </c>
      <c r="K22" s="8">
        <f t="shared" ref="K22" si="4">IF(H22="PCB","—",C22*$D$4)</f>
        <v>1</v>
      </c>
    </row>
    <row r="23" spans="1:11" x14ac:dyDescent="0.25">
      <c r="A23" s="8">
        <v>13</v>
      </c>
      <c r="B23" s="9" t="s">
        <v>165</v>
      </c>
      <c r="C23" s="8">
        <f t="shared" si="2"/>
        <v>4</v>
      </c>
      <c r="D23" s="9" t="s">
        <v>85</v>
      </c>
      <c r="E23" s="9" t="s">
        <v>86</v>
      </c>
      <c r="F23" s="15" t="s">
        <v>92</v>
      </c>
      <c r="G23" s="9" t="s">
        <v>166</v>
      </c>
      <c r="H23" s="8" t="s">
        <v>34</v>
      </c>
      <c r="I23" s="8" t="s">
        <v>66</v>
      </c>
      <c r="J23" s="9" t="s">
        <v>88</v>
      </c>
      <c r="K23" s="8">
        <f t="shared" si="3"/>
        <v>4</v>
      </c>
    </row>
    <row r="24" spans="1:11" x14ac:dyDescent="0.25">
      <c r="A24" s="8">
        <v>14</v>
      </c>
      <c r="B24" s="9" t="s">
        <v>89</v>
      </c>
      <c r="C24" s="8">
        <f t="shared" si="2"/>
        <v>2</v>
      </c>
      <c r="D24" s="9" t="s">
        <v>90</v>
      </c>
      <c r="E24" s="9" t="s">
        <v>91</v>
      </c>
      <c r="F24" s="15" t="s">
        <v>71</v>
      </c>
      <c r="G24" s="9" t="s">
        <v>167</v>
      </c>
      <c r="H24" s="8" t="s">
        <v>34</v>
      </c>
      <c r="I24" s="8" t="s">
        <v>66</v>
      </c>
      <c r="J24" s="9"/>
      <c r="K24" s="8">
        <f t="shared" si="3"/>
        <v>2</v>
      </c>
    </row>
    <row r="25" spans="1:11" x14ac:dyDescent="0.25">
      <c r="A25" s="8">
        <v>15</v>
      </c>
      <c r="B25" s="9" t="s">
        <v>93</v>
      </c>
      <c r="C25" s="8">
        <f t="shared" si="2"/>
        <v>1</v>
      </c>
      <c r="D25" s="9" t="s">
        <v>94</v>
      </c>
      <c r="E25" s="9" t="s">
        <v>95</v>
      </c>
      <c r="F25" s="15" t="s">
        <v>71</v>
      </c>
      <c r="G25" s="9" t="s">
        <v>96</v>
      </c>
      <c r="H25" s="8" t="s">
        <v>34</v>
      </c>
      <c r="I25" s="8" t="s">
        <v>66</v>
      </c>
      <c r="J25" s="9"/>
      <c r="K25" s="8">
        <f t="shared" si="3"/>
        <v>1</v>
      </c>
    </row>
    <row r="26" spans="1:11" x14ac:dyDescent="0.25">
      <c r="A26" s="8">
        <v>16</v>
      </c>
      <c r="B26" s="9" t="s">
        <v>97</v>
      </c>
      <c r="C26" s="8">
        <f t="shared" si="2"/>
        <v>3</v>
      </c>
      <c r="D26" s="9" t="s">
        <v>98</v>
      </c>
      <c r="E26" s="9" t="s">
        <v>99</v>
      </c>
      <c r="F26" s="15" t="s">
        <v>162</v>
      </c>
      <c r="G26" s="9" t="s">
        <v>100</v>
      </c>
      <c r="H26" s="8" t="s">
        <v>34</v>
      </c>
      <c r="I26" s="8" t="s">
        <v>66</v>
      </c>
      <c r="J26" s="9" t="s">
        <v>101</v>
      </c>
      <c r="K26" s="8">
        <f t="shared" si="3"/>
        <v>3</v>
      </c>
    </row>
    <row r="27" spans="1:11" x14ac:dyDescent="0.25">
      <c r="A27" s="1" t="s">
        <v>102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8">
        <v>17</v>
      </c>
      <c r="B28" s="9" t="s">
        <v>103</v>
      </c>
      <c r="C28" s="8">
        <f>LEN(B28)-LEN(SUBSTITUTE(B28,",",""))+1</f>
        <v>1</v>
      </c>
      <c r="D28" s="9" t="s">
        <v>104</v>
      </c>
      <c r="E28" s="9" t="s">
        <v>105</v>
      </c>
      <c r="F28" s="15" t="s">
        <v>162</v>
      </c>
      <c r="G28" s="9" t="s">
        <v>106</v>
      </c>
      <c r="H28" s="8" t="s">
        <v>34</v>
      </c>
      <c r="I28" s="8" t="s">
        <v>66</v>
      </c>
      <c r="J28" s="9"/>
      <c r="K28" s="8">
        <f>IF(H28="PCB","—",C28*$D$4)</f>
        <v>1</v>
      </c>
    </row>
    <row r="29" spans="1:11" ht="25.5" x14ac:dyDescent="0.25">
      <c r="A29" s="8">
        <v>18</v>
      </c>
      <c r="B29" s="9" t="s">
        <v>107</v>
      </c>
      <c r="C29" s="8">
        <f>LEN(B29)-LEN(SUBSTITUTE(B29,",",""))+1</f>
        <v>12</v>
      </c>
      <c r="D29" s="9" t="s">
        <v>108</v>
      </c>
      <c r="E29" s="9" t="s">
        <v>109</v>
      </c>
      <c r="F29" s="15" t="s">
        <v>162</v>
      </c>
      <c r="G29" s="9" t="s">
        <v>110</v>
      </c>
      <c r="H29" s="8" t="s">
        <v>34</v>
      </c>
      <c r="I29" s="8" t="s">
        <v>66</v>
      </c>
      <c r="J29" s="9"/>
      <c r="K29" s="8">
        <f>IF(H29="PCB","—",C29*$D$4)</f>
        <v>12</v>
      </c>
    </row>
    <row r="30" spans="1:11" ht="38.25" x14ac:dyDescent="0.25">
      <c r="A30" s="8">
        <v>19</v>
      </c>
      <c r="B30" s="9" t="s">
        <v>111</v>
      </c>
      <c r="C30" s="8">
        <f>LEN(B30)-LEN(SUBSTITUTE(B30,",",""))+1</f>
        <v>25</v>
      </c>
      <c r="D30" s="9" t="s">
        <v>112</v>
      </c>
      <c r="E30" s="9" t="s">
        <v>113</v>
      </c>
      <c r="F30" s="15" t="s">
        <v>162</v>
      </c>
      <c r="G30" s="9" t="s">
        <v>114</v>
      </c>
      <c r="H30" s="8" t="s">
        <v>34</v>
      </c>
      <c r="I30" s="8" t="s">
        <v>66</v>
      </c>
      <c r="J30" s="9" t="s">
        <v>115</v>
      </c>
      <c r="K30" s="8">
        <f>IF(H30="PCB","—",C30*$D$4)</f>
        <v>25</v>
      </c>
    </row>
    <row r="31" spans="1:11" x14ac:dyDescent="0.25">
      <c r="A31" s="8">
        <v>20</v>
      </c>
      <c r="B31" s="9" t="s">
        <v>116</v>
      </c>
      <c r="C31" s="8">
        <f>LEN(B31)-LEN(SUBSTITUTE(B31,",",""))+1</f>
        <v>1</v>
      </c>
      <c r="D31" s="9" t="s">
        <v>117</v>
      </c>
      <c r="E31" s="9" t="s">
        <v>118</v>
      </c>
      <c r="F31" s="15" t="s">
        <v>162</v>
      </c>
      <c r="G31" s="9" t="s">
        <v>119</v>
      </c>
      <c r="H31" s="8" t="s">
        <v>34</v>
      </c>
      <c r="I31" s="8" t="s">
        <v>66</v>
      </c>
      <c r="J31" s="9" t="s">
        <v>120</v>
      </c>
      <c r="K31" s="8">
        <f>IF(H31="PCB","—",C31*$D$4)</f>
        <v>1</v>
      </c>
    </row>
    <row r="32" spans="1:11" x14ac:dyDescent="0.25">
      <c r="A32" s="8">
        <v>21</v>
      </c>
      <c r="B32" s="9" t="s">
        <v>121</v>
      </c>
      <c r="C32" s="8">
        <f>LEN(B32)-LEN(SUBSTITUTE(B32,",",""))+1</f>
        <v>2</v>
      </c>
      <c r="D32" s="9" t="s">
        <v>122</v>
      </c>
      <c r="E32" s="9" t="s">
        <v>123</v>
      </c>
      <c r="F32" s="15" t="s">
        <v>71</v>
      </c>
      <c r="G32" s="9" t="s">
        <v>124</v>
      </c>
      <c r="H32" s="8" t="s">
        <v>34</v>
      </c>
      <c r="I32" s="8" t="s">
        <v>66</v>
      </c>
      <c r="J32" s="9"/>
      <c r="K32" s="8">
        <f>IF(H32="PCB","—",C32*$D$4)</f>
        <v>2</v>
      </c>
    </row>
    <row r="33" spans="1:11" x14ac:dyDescent="0.25">
      <c r="A33" s="1" t="s">
        <v>125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25.5" x14ac:dyDescent="0.25">
      <c r="A34" s="8">
        <v>22</v>
      </c>
      <c r="B34" s="9" t="s">
        <v>126</v>
      </c>
      <c r="C34" s="8">
        <f>LEN(B34)-LEN(SUBSTITUTE(B34,",",""))+1</f>
        <v>13</v>
      </c>
      <c r="D34" s="9" t="s">
        <v>127</v>
      </c>
      <c r="E34" s="9" t="s">
        <v>128</v>
      </c>
      <c r="F34" s="15" t="s">
        <v>129</v>
      </c>
      <c r="G34" s="9" t="s">
        <v>130</v>
      </c>
      <c r="H34" s="8" t="s">
        <v>21</v>
      </c>
      <c r="I34" s="8"/>
      <c r="J34" s="9" t="s">
        <v>131</v>
      </c>
      <c r="K34" s="8">
        <f>IF(H34="PCB","—",C34*$D$4)</f>
        <v>13</v>
      </c>
    </row>
    <row r="35" spans="1:11" ht="25.5" x14ac:dyDescent="0.25">
      <c r="A35" s="8">
        <v>23</v>
      </c>
      <c r="B35" s="9" t="s">
        <v>132</v>
      </c>
      <c r="C35" s="8">
        <f>LEN(B35)-LEN(SUBSTITUTE(B35,",",""))+1</f>
        <v>1</v>
      </c>
      <c r="D35" s="9" t="s">
        <v>133</v>
      </c>
      <c r="E35" s="9" t="s">
        <v>134</v>
      </c>
      <c r="F35" s="15" t="s">
        <v>135</v>
      </c>
      <c r="G35" s="9" t="s">
        <v>136</v>
      </c>
      <c r="H35" s="8" t="s">
        <v>21</v>
      </c>
      <c r="I35" s="8"/>
      <c r="J35" s="9"/>
      <c r="K35" s="8">
        <f>IF(H35="PCB","—",C35*$D$4)</f>
        <v>1</v>
      </c>
    </row>
    <row r="36" spans="1:11" x14ac:dyDescent="0.25">
      <c r="A36" s="1" t="s">
        <v>137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5.5" x14ac:dyDescent="0.25">
      <c r="A37" s="8">
        <v>24</v>
      </c>
      <c r="B37" s="9" t="s">
        <v>138</v>
      </c>
      <c r="C37" s="8">
        <f>LEN(B37)-LEN(SUBSTITUTE(B37,",",""))+1</f>
        <v>6</v>
      </c>
      <c r="D37" s="9" t="s">
        <v>139</v>
      </c>
      <c r="E37" s="9" t="s">
        <v>140</v>
      </c>
      <c r="F37" s="15" t="s">
        <v>141</v>
      </c>
      <c r="G37" s="9" t="s">
        <v>141</v>
      </c>
      <c r="H37" s="8" t="s">
        <v>142</v>
      </c>
      <c r="I37" s="8" t="s">
        <v>66</v>
      </c>
      <c r="J37" s="9" t="s">
        <v>143</v>
      </c>
      <c r="K37" s="8" t="str">
        <f>IF(H37="PCB","—",C37*$D$4)</f>
        <v>—</v>
      </c>
    </row>
    <row r="38" spans="1:11" x14ac:dyDescent="0.25">
      <c r="A38" s="8">
        <v>25</v>
      </c>
      <c r="B38" s="9" t="s">
        <v>144</v>
      </c>
      <c r="C38" s="8">
        <f>LEN(B38)-LEN(SUBSTITUTE(B38,",",""))+1</f>
        <v>4</v>
      </c>
      <c r="D38" s="9" t="s">
        <v>145</v>
      </c>
      <c r="E38" s="9" t="s">
        <v>146</v>
      </c>
      <c r="F38" s="15" t="s">
        <v>141</v>
      </c>
      <c r="G38" s="9" t="s">
        <v>141</v>
      </c>
      <c r="H38" s="8" t="s">
        <v>142</v>
      </c>
      <c r="I38" s="8"/>
      <c r="J38" s="9" t="s">
        <v>147</v>
      </c>
      <c r="K38" s="8" t="str">
        <f>IF(H38="PCB","—",C38*$D$4)</f>
        <v>—</v>
      </c>
    </row>
    <row r="39" spans="1:11" x14ac:dyDescent="0.25">
      <c r="A39" s="1" t="s">
        <v>148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5.5" x14ac:dyDescent="0.25">
      <c r="A40" s="8">
        <v>26</v>
      </c>
      <c r="B40" s="9" t="s">
        <v>141</v>
      </c>
      <c r="C40" s="10">
        <v>1</v>
      </c>
      <c r="D40" s="9" t="s">
        <v>149</v>
      </c>
      <c r="E40" s="9" t="s">
        <v>150</v>
      </c>
      <c r="F40" s="15" t="s">
        <v>151</v>
      </c>
      <c r="G40" s="9" t="s">
        <v>152</v>
      </c>
      <c r="H40" s="8" t="s">
        <v>153</v>
      </c>
      <c r="I40" s="8"/>
      <c r="J40" s="9" t="s">
        <v>154</v>
      </c>
      <c r="K40" s="8">
        <f>IF(H40="PCB","—",C40*$D$4)</f>
        <v>1</v>
      </c>
    </row>
    <row r="41" spans="1:11" ht="25.5" x14ac:dyDescent="0.25">
      <c r="A41" s="8">
        <v>27</v>
      </c>
      <c r="B41" s="9" t="s">
        <v>141</v>
      </c>
      <c r="C41" s="10">
        <v>1</v>
      </c>
      <c r="D41" s="9" t="s">
        <v>155</v>
      </c>
      <c r="E41" s="9" t="s">
        <v>156</v>
      </c>
      <c r="F41" s="15" t="s">
        <v>141</v>
      </c>
      <c r="G41" s="9" t="s">
        <v>157</v>
      </c>
      <c r="H41" s="8" t="s">
        <v>153</v>
      </c>
      <c r="I41" s="8"/>
      <c r="J41" s="9"/>
      <c r="K41" s="8">
        <f>IF(H41="PCB","—",C41*$D$4)</f>
        <v>1</v>
      </c>
    </row>
    <row r="43" spans="1:11" x14ac:dyDescent="0.25">
      <c r="A43" s="5" t="s">
        <v>158</v>
      </c>
    </row>
    <row r="44" spans="1:11" x14ac:dyDescent="0.25">
      <c r="B44" s="11" t="s">
        <v>159</v>
      </c>
      <c r="C44" s="12">
        <f>SUMIF(H8:H41,"SMD",C8:C41)</f>
        <v>87</v>
      </c>
    </row>
    <row r="45" spans="1:11" x14ac:dyDescent="0.25">
      <c r="B45" s="11" t="s">
        <v>160</v>
      </c>
      <c r="C45" s="12">
        <f>SUMIF(H8:H41,"THT",C8:C41)</f>
        <v>17</v>
      </c>
    </row>
    <row r="46" spans="1:11" x14ac:dyDescent="0.25">
      <c r="B46" s="11" t="s">
        <v>161</v>
      </c>
      <c r="C46" s="12">
        <f>C44+C45</f>
        <v>104</v>
      </c>
    </row>
  </sheetData>
  <autoFilter ref="A7:K41" xr:uid="{00000000-0009-0000-0000-000000000000}"/>
  <mergeCells count="7">
    <mergeCell ref="A36:K36"/>
    <mergeCell ref="A39:K39"/>
    <mergeCell ref="A5:K5"/>
    <mergeCell ref="A8:K8"/>
    <mergeCell ref="A19:K19"/>
    <mergeCell ref="A27:K27"/>
    <mergeCell ref="A33:K33"/>
  </mergeCells>
  <phoneticPr fontId="8" type="noConversion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BOM</vt:lpstr>
      <vt:lpstr>BOM!Tytuły_wydruku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Marcel Lis</cp:lastModifiedBy>
  <cp:revision>0</cp:revision>
  <dcterms:created xsi:type="dcterms:W3CDTF">2026-10-06T17:28:51Z</dcterms:created>
  <dcterms:modified xsi:type="dcterms:W3CDTF">2026-10-06T19:41:53Z</dcterms:modified>
  <dc:language>en-US</dc:language>
</cp:coreProperties>
</file>